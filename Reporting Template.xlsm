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240" yWindow="120" windowWidth="14880" windowHeight="11715"/>
  </bookViews>
  <sheets>
    <sheet name="Console" sheetId="4" r:id="rId1"/>
    <sheet name="Raw_data" sheetId="1" r:id="rId2"/>
    <sheet name="Member_profile" sheetId="2" r:id="rId3"/>
    <sheet name="Report" sheetId="3" r:id="rId4"/>
  </sheets>
  <functionGroups builtInGroupCount="17"/>
  <calcPr calcId="144525"/>
</workbook>
</file>

<file path=xl/calcChain.xml><?xml version="1.0" encoding="utf-8"?>
<calcChain xmlns="http://schemas.openxmlformats.org/spreadsheetml/2006/main">
  <c r="H2" i="1" l="1"/>
  <c r="D6" i="3" s="1"/>
  <c r="C32" i="3"/>
  <c r="D32" i="3"/>
  <c r="C33" i="3"/>
  <c r="D33" i="3"/>
  <c r="C34" i="3"/>
  <c r="D34" i="3"/>
  <c r="D31" i="3"/>
  <c r="C31" i="3"/>
  <c r="D20" i="3"/>
  <c r="D21" i="3"/>
  <c r="D22" i="3"/>
  <c r="D23" i="3"/>
  <c r="D24" i="3"/>
  <c r="D25" i="3"/>
  <c r="D26" i="3"/>
  <c r="D27" i="3"/>
  <c r="D28" i="3"/>
  <c r="D29" i="3"/>
  <c r="D19" i="3"/>
  <c r="C20" i="3"/>
  <c r="C21" i="3"/>
  <c r="C22" i="3"/>
  <c r="C23" i="3"/>
  <c r="C24" i="3"/>
  <c r="C25" i="3"/>
  <c r="C26" i="3"/>
  <c r="C27" i="3"/>
  <c r="C28" i="3"/>
  <c r="C29" i="3"/>
  <c r="C19" i="3"/>
  <c r="E32" i="3" l="1"/>
  <c r="E29" i="3"/>
  <c r="E25" i="3"/>
  <c r="E21" i="3"/>
  <c r="E34" i="3"/>
  <c r="E19" i="3"/>
  <c r="E26" i="3"/>
  <c r="E22" i="3"/>
  <c r="E31" i="3"/>
  <c r="G2" i="1"/>
  <c r="K2" i="1"/>
  <c r="L2" i="1" s="1"/>
  <c r="I2" i="1"/>
  <c r="C8" i="3" s="1"/>
  <c r="E28" i="3"/>
  <c r="E24" i="3"/>
  <c r="E20" i="3"/>
  <c r="J2" i="1"/>
  <c r="D12" i="3" s="1"/>
  <c r="E27" i="3"/>
  <c r="E23" i="3"/>
  <c r="E33" i="3"/>
  <c r="C5" i="3"/>
  <c r="D5" i="3"/>
  <c r="C6" i="3"/>
  <c r="C12" i="3" l="1"/>
  <c r="C13" i="3"/>
  <c r="D9" i="3"/>
  <c r="C10" i="3"/>
  <c r="D10" i="3"/>
  <c r="D13" i="3"/>
  <c r="D8" i="3"/>
  <c r="C9" i="3"/>
</calcChain>
</file>

<file path=xl/sharedStrings.xml><?xml version="1.0" encoding="utf-8"?>
<sst xmlns="http://schemas.openxmlformats.org/spreadsheetml/2006/main" count="54" uniqueCount="45">
  <si>
    <t>Name</t>
  </si>
  <si>
    <t>Age</t>
  </si>
  <si>
    <t>Membership</t>
  </si>
  <si>
    <t>Golden</t>
  </si>
  <si>
    <t>Sliver</t>
  </si>
  <si>
    <t>Standard</t>
  </si>
  <si>
    <t>Gender</t>
  </si>
  <si>
    <t>F</t>
  </si>
  <si>
    <t>M</t>
  </si>
  <si>
    <t>Transaction_time</t>
  </si>
  <si>
    <t>Product</t>
  </si>
  <si>
    <t>Product_category</t>
  </si>
  <si>
    <t>Membership_type</t>
  </si>
  <si>
    <t>Join_date</t>
  </si>
  <si>
    <t>Transaction_id</t>
  </si>
  <si>
    <t>Member_name</t>
  </si>
  <si>
    <t>Member_ID</t>
  </si>
  <si>
    <t>Age_group</t>
  </si>
  <si>
    <t>Amount</t>
  </si>
  <si>
    <t>C1</t>
  </si>
  <si>
    <t>D1</t>
  </si>
  <si>
    <t>A2</t>
  </si>
  <si>
    <t>B1</t>
  </si>
  <si>
    <t>B2</t>
  </si>
  <si>
    <t>A1</t>
  </si>
  <si>
    <t>B3</t>
  </si>
  <si>
    <t>C2</t>
  </si>
  <si>
    <t>B4</t>
  </si>
  <si>
    <t>D2</t>
  </si>
  <si>
    <t>C3</t>
  </si>
  <si>
    <t>Non-member</t>
  </si>
  <si>
    <t>Member</t>
  </si>
  <si>
    <t>Membership Type</t>
  </si>
  <si>
    <t>Total</t>
  </si>
  <si>
    <t>Number of records</t>
  </si>
  <si>
    <t>Transaction amount</t>
  </si>
  <si>
    <t>Members Transaction Summary</t>
  </si>
  <si>
    <t>Product Sales Summary</t>
  </si>
  <si>
    <t>Product Category</t>
  </si>
  <si>
    <t>A</t>
  </si>
  <si>
    <t>B</t>
  </si>
  <si>
    <t>C</t>
  </si>
  <si>
    <t>D</t>
  </si>
  <si>
    <t>Transaction amount per record</t>
  </si>
  <si>
    <t>1. Import "Member.xlsx"
2. Import "Transactions.csv"</t>
    <phoneticPr fontId="3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</si>
</sst>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76" formatCode="&quot;$&quot;#,##0.00_);[Red]\(&quot;$&quot;#,##0.00\)"/>
    <numFmt numFmtId="177" formatCode="dd\-mmm\-yy\ hh:mm:ss"/>
  </numFmts>
  <fonts count="5" x14ac:knownFonts="1">
    <font>
      <sz val="11"/>
      <color theme="1"/>
      <name val="Arial"/>
      <family val="2"/>
    </font>
    <font>
      <b/>
      <sz val="11"/>
      <color theme="1"/>
      <name val="Arial"/>
      <family val="2"/>
    </font>
    <font>
      <b/>
      <sz val="12"/>
      <color theme="1"/>
      <name val="Arial"/>
      <family val="2"/>
    </font>
    <font>
      <sz val="9"/>
      <name val="細明體"/>
      <family val="3"/>
      <charset val="136"/>
    </font>
    <font>
      <sz val="20"/>
      <color theme="1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6" tint="0.79998168889431442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33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/>
    </xf>
    <xf numFmtId="0" fontId="0" fillId="0" borderId="0" xfId="0" applyAlignment="1">
      <alignment horizontal="center"/>
    </xf>
    <xf numFmtId="15" fontId="0" fillId="0" borderId="0" xfId="0" applyNumberFormat="1" applyAlignment="1">
      <alignment horizontal="center"/>
    </xf>
    <xf numFmtId="15" fontId="1" fillId="0" borderId="0" xfId="0" applyNumberFormat="1" applyFont="1" applyAlignment="1">
      <alignment horizontal="center"/>
    </xf>
    <xf numFmtId="0" fontId="1" fillId="2" borderId="0" xfId="0" applyFont="1" applyFill="1" applyAlignment="1">
      <alignment horizontal="center"/>
    </xf>
    <xf numFmtId="177" fontId="1" fillId="0" borderId="0" xfId="0" applyNumberFormat="1" applyFont="1" applyAlignment="1">
      <alignment horizontal="center"/>
    </xf>
    <xf numFmtId="177" fontId="0" fillId="0" borderId="0" xfId="0" applyNumberFormat="1" applyAlignment="1">
      <alignment horizontal="center"/>
    </xf>
    <xf numFmtId="176" fontId="1" fillId="0" borderId="0" xfId="0" applyNumberFormat="1" applyFont="1" applyAlignment="1">
      <alignment horizontal="center"/>
    </xf>
    <xf numFmtId="176" fontId="0" fillId="0" borderId="0" xfId="0" applyNumberFormat="1" applyAlignment="1">
      <alignment horizontal="center"/>
    </xf>
    <xf numFmtId="0" fontId="1" fillId="0" borderId="1" xfId="0" applyFont="1" applyBorder="1" applyAlignment="1">
      <alignment horizontal="center"/>
    </xf>
    <xf numFmtId="0" fontId="0" fillId="0" borderId="1" xfId="0" applyBorder="1" applyAlignment="1">
      <alignment horizontal="center"/>
    </xf>
    <xf numFmtId="0" fontId="0" fillId="2" borderId="1" xfId="0" applyFill="1" applyBorder="1" applyAlignment="1">
      <alignment horizontal="center"/>
    </xf>
    <xf numFmtId="176" fontId="0" fillId="2" borderId="1" xfId="0" applyNumberFormat="1" applyFill="1" applyBorder="1" applyAlignment="1">
      <alignment horizontal="center"/>
    </xf>
    <xf numFmtId="0" fontId="1" fillId="0" borderId="1" xfId="0" applyFont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0" fillId="0" borderId="0" xfId="0" applyAlignment="1">
      <alignment vertical="center"/>
    </xf>
    <xf numFmtId="0" fontId="1" fillId="0" borderId="2" xfId="0" applyFont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2" fillId="0" borderId="1" xfId="0" applyFont="1" applyBorder="1" applyAlignment="1">
      <alignment horizontal="center"/>
    </xf>
    <xf numFmtId="0" fontId="1" fillId="0" borderId="1" xfId="0" applyFont="1" applyBorder="1" applyAlignment="1">
      <alignment horizontal="left"/>
    </xf>
    <xf numFmtId="0" fontId="0" fillId="0" borderId="0" xfId="0" applyBorder="1" applyAlignment="1">
      <alignment horizontal="left" vertical="center" wrapText="1"/>
    </xf>
    <xf numFmtId="0" fontId="0" fillId="0" borderId="9" xfId="0" applyBorder="1" applyAlignment="1">
      <alignment horizontal="left" vertical="center" wrapText="1"/>
    </xf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Border="1"/>
    <xf numFmtId="0" fontId="0" fillId="0" borderId="10" xfId="0" applyBorder="1"/>
    <xf numFmtId="0" fontId="0" fillId="0" borderId="11" xfId="0" applyBorder="1"/>
    <xf numFmtId="0" fontId="0" fillId="0" borderId="12" xfId="0" applyBorder="1"/>
  </cellXfs>
  <cellStyles count="1">
    <cellStyle name="一般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3198257080610021"/>
          <c:y val="7.6738609112709855E-2"/>
        </c:manualLayout>
      </c:layout>
      <c:overlay val="0"/>
      <c:txPr>
        <a:bodyPr/>
        <a:lstStyle/>
        <a:p>
          <a:pPr>
            <a:defRPr sz="1400"/>
          </a:pPr>
          <a:endParaRPr lang="zh-TW"/>
        </a:p>
      </c:txPr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Members distribution</c:v>
          </c:tx>
          <c:dLbls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Report!$B$5:$B$6</c:f>
              <c:strCache>
                <c:ptCount val="2"/>
                <c:pt idx="0">
                  <c:v>Member</c:v>
                </c:pt>
                <c:pt idx="1">
                  <c:v>Non-member</c:v>
                </c:pt>
              </c:strCache>
            </c:strRef>
          </c:cat>
          <c:val>
            <c:numRef>
              <c:f>Report!$C$5:$C$6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txPr>
        <a:bodyPr/>
        <a:lstStyle/>
        <a:p>
          <a:pPr rtl="0">
            <a:defRPr sz="11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022" l="0.70000000000000018" r="0.70000000000000018" t="0.75000000000000022" header="0.3000000000000001" footer="0.3000000000000001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3198257080610021"/>
          <c:y val="7.6738609112709882E-2"/>
        </c:manualLayout>
      </c:layout>
      <c:overlay val="0"/>
      <c:txPr>
        <a:bodyPr/>
        <a:lstStyle/>
        <a:p>
          <a:pPr>
            <a:defRPr sz="1400"/>
          </a:pPr>
          <a:endParaRPr lang="zh-TW"/>
        </a:p>
      </c:txPr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Types distribution</c:v>
          </c:tx>
          <c:dLbls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Report!$B$8:$B$10</c:f>
              <c:strCache>
                <c:ptCount val="3"/>
                <c:pt idx="0">
                  <c:v>Golden</c:v>
                </c:pt>
                <c:pt idx="1">
                  <c:v>Sliver</c:v>
                </c:pt>
                <c:pt idx="2">
                  <c:v>Standard</c:v>
                </c:pt>
              </c:strCache>
            </c:strRef>
          </c:cat>
          <c:val>
            <c:numRef>
              <c:f>Report!$C$8:$C$10</c:f>
              <c:numCache>
                <c:formatCode>General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/>
      <c:overlay val="0"/>
      <c:txPr>
        <a:bodyPr/>
        <a:lstStyle/>
        <a:p>
          <a:pPr rtl="0">
            <a:defRPr sz="11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23198257080610021"/>
          <c:y val="7.6738609112709882E-2"/>
        </c:manualLayout>
      </c:layout>
      <c:overlay val="0"/>
      <c:txPr>
        <a:bodyPr/>
        <a:lstStyle/>
        <a:p>
          <a:pPr>
            <a:defRPr sz="1400"/>
          </a:pPr>
          <a:endParaRPr lang="zh-TW"/>
        </a:p>
      </c:txPr>
    </c:title>
    <c:autoTitleDeleted val="0"/>
    <c:view3D>
      <c:rotX val="30"/>
      <c:rotY val="0"/>
      <c:rAngAx val="0"/>
      <c:perspective val="30"/>
    </c:view3D>
    <c:floor>
      <c:thickness val="0"/>
    </c:floor>
    <c:sideWall>
      <c:thickness val="0"/>
    </c:sideWall>
    <c:backWall>
      <c:thickness val="0"/>
    </c:backWall>
    <c:plotArea>
      <c:layout/>
      <c:pie3DChart>
        <c:varyColors val="1"/>
        <c:ser>
          <c:idx val="0"/>
          <c:order val="0"/>
          <c:tx>
            <c:v>Gender distribution</c:v>
          </c:tx>
          <c:dLbls>
            <c:dLblPos val="out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</c:dLbls>
          <c:cat>
            <c:strRef>
              <c:f>Report!$B$12:$B$13</c:f>
              <c:strCache>
                <c:ptCount val="2"/>
                <c:pt idx="0">
                  <c:v>M</c:v>
                </c:pt>
                <c:pt idx="1">
                  <c:v>F</c:v>
                </c:pt>
              </c:strCache>
            </c:strRef>
          </c:cat>
          <c:val>
            <c:numRef>
              <c:f>Report!$C$5:$C$6</c:f>
              <c:numCache>
                <c:formatCode>General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</c:ser>
        <c:dLbls>
          <c:showLegendKey val="0"/>
          <c:showVal val="1"/>
          <c:showCatName val="0"/>
          <c:showSerName val="0"/>
          <c:showPercent val="0"/>
          <c:showBubbleSize val="0"/>
          <c:showLeaderLines val="1"/>
        </c:dLbls>
      </c:pie3DChart>
    </c:plotArea>
    <c:legend>
      <c:legendPos val="r"/>
      <c:layout>
        <c:manualLayout>
          <c:xMode val="edge"/>
          <c:yMode val="edge"/>
          <c:x val="0.74948999022181062"/>
          <c:y val="0.44004154156989367"/>
          <c:w val="0.11979105552982351"/>
          <c:h val="0.37018070582903778"/>
        </c:manualLayout>
      </c:layout>
      <c:overlay val="0"/>
      <c:txPr>
        <a:bodyPr/>
        <a:lstStyle/>
        <a:p>
          <a:pPr rtl="0">
            <a:defRPr sz="11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044" l="0.7000000000000004" r="0.7000000000000004" t="0.75000000000000044" header="0.30000000000000021" footer="0.30000000000000021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Product sales Summary</a:t>
            </a:r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Report!$C$17</c:f>
              <c:strCache>
                <c:ptCount val="1"/>
                <c:pt idx="0">
                  <c:v>Number of records</c:v>
                </c:pt>
              </c:strCache>
            </c:strRef>
          </c:tx>
          <c:invertIfNegative val="0"/>
          <c:cat>
            <c:strRef>
              <c:f>Report!$B$19:$B$29</c:f>
              <c:strCache>
                <c:ptCount val="11"/>
                <c:pt idx="0">
                  <c:v>A1</c:v>
                </c:pt>
                <c:pt idx="1">
                  <c:v>A2</c:v>
                </c:pt>
                <c:pt idx="2">
                  <c:v>B1</c:v>
                </c:pt>
                <c:pt idx="3">
                  <c:v>B2</c:v>
                </c:pt>
                <c:pt idx="4">
                  <c:v>B3</c:v>
                </c:pt>
                <c:pt idx="5">
                  <c:v>B4</c:v>
                </c:pt>
                <c:pt idx="6">
                  <c:v>C1</c:v>
                </c:pt>
                <c:pt idx="7">
                  <c:v>C2</c:v>
                </c:pt>
                <c:pt idx="8">
                  <c:v>C3</c:v>
                </c:pt>
                <c:pt idx="9">
                  <c:v>D1</c:v>
                </c:pt>
                <c:pt idx="10">
                  <c:v>D2</c:v>
                </c:pt>
              </c:strCache>
            </c:strRef>
          </c:cat>
          <c:val>
            <c:numRef>
              <c:f>Report!$C$19:$C$29</c:f>
              <c:numCache>
                <c:formatCode>General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19675136"/>
        <c:axId val="119685120"/>
      </c:barChart>
      <c:scatterChart>
        <c:scatterStyle val="lineMarker"/>
        <c:varyColors val="0"/>
        <c:ser>
          <c:idx val="1"/>
          <c:order val="1"/>
          <c:tx>
            <c:strRef>
              <c:f>Report!$E$17</c:f>
              <c:strCache>
                <c:ptCount val="1"/>
                <c:pt idx="0">
                  <c:v>Transaction amount per record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yVal>
            <c:numRef>
              <c:f>Report!$E$19:$E$29</c:f>
              <c:numCache>
                <c:formatCode>"$"#,##0.00_);[Red]\("$"#,##0.00\)</c:formatCode>
                <c:ptCount val="1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688192"/>
        <c:axId val="119686656"/>
      </c:scatterChart>
      <c:catAx>
        <c:axId val="119675136"/>
        <c:scaling>
          <c:orientation val="minMax"/>
        </c:scaling>
        <c:delete val="0"/>
        <c:axPos val="b"/>
        <c:majorTickMark val="none"/>
        <c:minorTickMark val="none"/>
        <c:tickLblPos val="nextTo"/>
        <c:crossAx val="119685120"/>
        <c:crosses val="autoZero"/>
        <c:auto val="1"/>
        <c:lblAlgn val="ctr"/>
        <c:lblOffset val="100"/>
        <c:noMultiLvlLbl val="0"/>
      </c:catAx>
      <c:valAx>
        <c:axId val="119685120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19675136"/>
        <c:crosses val="autoZero"/>
        <c:crossBetween val="between"/>
      </c:valAx>
      <c:valAx>
        <c:axId val="119686656"/>
        <c:scaling>
          <c:orientation val="minMax"/>
        </c:scaling>
        <c:delete val="0"/>
        <c:axPos val="r"/>
        <c:numFmt formatCode="&quot;$&quot;#,##0.00_);[Red]\(&quot;$&quot;#,##0.00\)" sourceLinked="1"/>
        <c:majorTickMark val="out"/>
        <c:minorTickMark val="none"/>
        <c:tickLblPos val="nextTo"/>
        <c:crossAx val="119688192"/>
        <c:crosses val="max"/>
        <c:crossBetween val="midCat"/>
      </c:valAx>
      <c:valAx>
        <c:axId val="119688192"/>
        <c:scaling>
          <c:orientation val="minMax"/>
        </c:scaling>
        <c:delete val="1"/>
        <c:axPos val="b"/>
        <c:majorTickMark val="out"/>
        <c:minorTickMark val="none"/>
        <c:tickLblPos val="none"/>
        <c:crossAx val="119686656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 rtl="0">
            <a:defRPr sz="11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078" l="0.70000000000000062" r="0.70000000000000062" t="0.75000000000000078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>
  <c:date1904 val="0"/>
  <c:lang val="zh-TW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400"/>
            </a:pPr>
            <a:r>
              <a:rPr lang="en-US" sz="1400"/>
              <a:t>Product category sales</a:t>
            </a:r>
            <a:r>
              <a:rPr lang="en-US" sz="1400" baseline="0"/>
              <a:t> summary</a:t>
            </a:r>
            <a:endParaRPr lang="en-US" sz="1400"/>
          </a:p>
        </c:rich>
      </c:tx>
      <c:layout/>
      <c:overlay val="0"/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Report!$C$17</c:f>
              <c:strCache>
                <c:ptCount val="1"/>
                <c:pt idx="0">
                  <c:v>Number of records</c:v>
                </c:pt>
              </c:strCache>
            </c:strRef>
          </c:tx>
          <c:invertIfNegative val="0"/>
          <c:cat>
            <c:strRef>
              <c:f>Report!$B$19:$B$29</c:f>
              <c:strCache>
                <c:ptCount val="11"/>
                <c:pt idx="0">
                  <c:v>A1</c:v>
                </c:pt>
                <c:pt idx="1">
                  <c:v>A2</c:v>
                </c:pt>
                <c:pt idx="2">
                  <c:v>B1</c:v>
                </c:pt>
                <c:pt idx="3">
                  <c:v>B2</c:v>
                </c:pt>
                <c:pt idx="4">
                  <c:v>B3</c:v>
                </c:pt>
                <c:pt idx="5">
                  <c:v>B4</c:v>
                </c:pt>
                <c:pt idx="6">
                  <c:v>C1</c:v>
                </c:pt>
                <c:pt idx="7">
                  <c:v>C2</c:v>
                </c:pt>
                <c:pt idx="8">
                  <c:v>C3</c:v>
                </c:pt>
                <c:pt idx="9">
                  <c:v>D1</c:v>
                </c:pt>
                <c:pt idx="10">
                  <c:v>D2</c:v>
                </c:pt>
              </c:strCache>
            </c:strRef>
          </c:cat>
          <c:val>
            <c:numRef>
              <c:f>Report!$C$31:$C$34</c:f>
              <c:numCache>
                <c:formatCode>General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75"/>
        <c:axId val="126096896"/>
        <c:axId val="126098432"/>
      </c:barChart>
      <c:scatterChart>
        <c:scatterStyle val="lineMarker"/>
        <c:varyColors val="0"/>
        <c:ser>
          <c:idx val="1"/>
          <c:order val="1"/>
          <c:tx>
            <c:strRef>
              <c:f>Report!$E$17</c:f>
              <c:strCache>
                <c:ptCount val="1"/>
                <c:pt idx="0">
                  <c:v>Transaction amount per record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7"/>
          </c:marker>
          <c:yVal>
            <c:numRef>
              <c:f>Report!$E$31:$E$34</c:f>
              <c:numCache>
                <c:formatCode>"$"#,##0.00_);[Red]\("$"#,##0.00\)</c:formatCode>
                <c:ptCount val="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y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6105856"/>
        <c:axId val="126104320"/>
      </c:scatterChart>
      <c:catAx>
        <c:axId val="126096896"/>
        <c:scaling>
          <c:orientation val="minMax"/>
        </c:scaling>
        <c:delete val="0"/>
        <c:axPos val="b"/>
        <c:majorTickMark val="none"/>
        <c:minorTickMark val="none"/>
        <c:tickLblPos val="nextTo"/>
        <c:crossAx val="126098432"/>
        <c:crosses val="autoZero"/>
        <c:auto val="1"/>
        <c:lblAlgn val="ctr"/>
        <c:lblOffset val="100"/>
        <c:noMultiLvlLbl val="0"/>
      </c:catAx>
      <c:valAx>
        <c:axId val="126098432"/>
        <c:scaling>
          <c:orientation val="minMax"/>
        </c:scaling>
        <c:delete val="0"/>
        <c:axPos val="l"/>
        <c:majorGridlines/>
        <c:numFmt formatCode="General" sourceLinked="1"/>
        <c:majorTickMark val="none"/>
        <c:minorTickMark val="none"/>
        <c:tickLblPos val="nextTo"/>
        <c:spPr>
          <a:ln w="9525">
            <a:noFill/>
          </a:ln>
        </c:spPr>
        <c:crossAx val="126096896"/>
        <c:crosses val="autoZero"/>
        <c:crossBetween val="between"/>
      </c:valAx>
      <c:valAx>
        <c:axId val="126104320"/>
        <c:scaling>
          <c:orientation val="minMax"/>
        </c:scaling>
        <c:delete val="0"/>
        <c:axPos val="r"/>
        <c:numFmt formatCode="&quot;$&quot;#,##0.00_);[Red]\(&quot;$&quot;#,##0.00\)" sourceLinked="1"/>
        <c:majorTickMark val="out"/>
        <c:minorTickMark val="none"/>
        <c:tickLblPos val="nextTo"/>
        <c:crossAx val="126105856"/>
        <c:crosses val="max"/>
        <c:crossBetween val="midCat"/>
      </c:valAx>
      <c:valAx>
        <c:axId val="126105856"/>
        <c:scaling>
          <c:orientation val="minMax"/>
        </c:scaling>
        <c:delete val="1"/>
        <c:axPos val="b"/>
        <c:majorTickMark val="out"/>
        <c:minorTickMark val="none"/>
        <c:tickLblPos val="none"/>
        <c:crossAx val="126104320"/>
        <c:crosses val="autoZero"/>
        <c:crossBetween val="midCat"/>
      </c:valAx>
    </c:plotArea>
    <c:legend>
      <c:legendPos val="b"/>
      <c:layout/>
      <c:overlay val="0"/>
      <c:txPr>
        <a:bodyPr/>
        <a:lstStyle/>
        <a:p>
          <a:pPr rtl="0">
            <a:defRPr sz="1100"/>
          </a:pPr>
          <a:endParaRPr lang="zh-TW"/>
        </a:p>
      </c:txPr>
    </c:legend>
    <c:plotVisOnly val="1"/>
    <c:dispBlanksAs val="gap"/>
    <c:showDLblsOverMax val="0"/>
  </c:chart>
  <c:printSettings>
    <c:headerFooter/>
    <c:pageMargins b="0.750000000000001" l="0.70000000000000062" r="0.70000000000000062" t="0.750000000000001" header="0.30000000000000032" footer="0.30000000000000032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142874</xdr:colOff>
          <xdr:row>8</xdr:row>
          <xdr:rowOff>9524</xdr:rowOff>
        </xdr:from>
        <xdr:to>
          <xdr:col>8</xdr:col>
          <xdr:colOff>581025</xdr:colOff>
          <xdr:row>12</xdr:row>
          <xdr:rowOff>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en-US" altLang="zh-TW" sz="2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Generate the Report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514350</xdr:colOff>
      <xdr:row>0</xdr:row>
      <xdr:rowOff>66675</xdr:rowOff>
    </xdr:from>
    <xdr:to>
      <xdr:col>8</xdr:col>
      <xdr:colOff>9525</xdr:colOff>
      <xdr:row>7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8</xdr:col>
      <xdr:colOff>28575</xdr:colOff>
      <xdr:row>4</xdr:row>
      <xdr:rowOff>28575</xdr:rowOff>
    </xdr:from>
    <xdr:to>
      <xdr:col>12</xdr:col>
      <xdr:colOff>200025</xdr:colOff>
      <xdr:row>11</xdr:row>
      <xdr:rowOff>66675</xdr:rowOff>
    </xdr:to>
    <xdr:graphicFrame macro="">
      <xdr:nvGraphicFramePr>
        <xdr:cNvPr id="3" name="Chart 2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</xdr:col>
      <xdr:colOff>514350</xdr:colOff>
      <xdr:row>7</xdr:row>
      <xdr:rowOff>85725</xdr:rowOff>
    </xdr:from>
    <xdr:to>
      <xdr:col>8</xdr:col>
      <xdr:colOff>9525</xdr:colOff>
      <xdr:row>14</xdr:row>
      <xdr:rowOff>123825</xdr:rowOff>
    </xdr:to>
    <xdr:graphicFrame macro="">
      <xdr:nvGraphicFramePr>
        <xdr:cNvPr id="4" name="Chart 3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5</xdr:col>
      <xdr:colOff>400050</xdr:colOff>
      <xdr:row>15</xdr:row>
      <xdr:rowOff>190501</xdr:rowOff>
    </xdr:from>
    <xdr:to>
      <xdr:col>12</xdr:col>
      <xdr:colOff>85725</xdr:colOff>
      <xdr:row>26</xdr:row>
      <xdr:rowOff>28576</xdr:rowOff>
    </xdr:to>
    <xdr:graphicFrame macro="">
      <xdr:nvGraphicFramePr>
        <xdr:cNvPr id="5" name="Chart 4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381000</xdr:colOff>
      <xdr:row>26</xdr:row>
      <xdr:rowOff>142875</xdr:rowOff>
    </xdr:from>
    <xdr:to>
      <xdr:col>12</xdr:col>
      <xdr:colOff>66675</xdr:colOff>
      <xdr:row>38</xdr:row>
      <xdr:rowOff>19050</xdr:rowOff>
    </xdr:to>
    <xdr:graphicFrame macro="">
      <xdr:nvGraphicFramePr>
        <xdr:cNvPr id="7" name="Chart 6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F8:M13"/>
  <sheetViews>
    <sheetView showGridLines="0" tabSelected="1" workbookViewId="0">
      <selection activeCell="G15" sqref="G15"/>
    </sheetView>
  </sheetViews>
  <sheetFormatPr defaultRowHeight="14.25" x14ac:dyDescent="0.2"/>
  <sheetData>
    <row r="8" spans="6:13" x14ac:dyDescent="0.2">
      <c r="F8" s="25"/>
      <c r="G8" s="26"/>
      <c r="H8" s="26"/>
      <c r="I8" s="26"/>
      <c r="J8" s="26"/>
      <c r="K8" s="26"/>
      <c r="L8" s="27"/>
    </row>
    <row r="9" spans="6:13" ht="14.25" customHeight="1" x14ac:dyDescent="0.2">
      <c r="F9" s="28"/>
      <c r="G9" s="29"/>
      <c r="H9" s="29"/>
      <c r="I9" s="29"/>
      <c r="J9" s="23" t="s">
        <v>44</v>
      </c>
      <c r="K9" s="23"/>
      <c r="L9" s="24"/>
      <c r="M9" s="17"/>
    </row>
    <row r="10" spans="6:13" x14ac:dyDescent="0.2">
      <c r="F10" s="28"/>
      <c r="G10" s="29"/>
      <c r="H10" s="29"/>
      <c r="I10" s="29"/>
      <c r="J10" s="23"/>
      <c r="K10" s="23"/>
      <c r="L10" s="24"/>
      <c r="M10" s="17"/>
    </row>
    <row r="11" spans="6:13" x14ac:dyDescent="0.2">
      <c r="F11" s="28"/>
      <c r="G11" s="29"/>
      <c r="H11" s="29"/>
      <c r="I11" s="29"/>
      <c r="J11" s="23"/>
      <c r="K11" s="23"/>
      <c r="L11" s="24"/>
      <c r="M11" s="17"/>
    </row>
    <row r="12" spans="6:13" x14ac:dyDescent="0.2">
      <c r="F12" s="28"/>
      <c r="G12" s="29"/>
      <c r="H12" s="29"/>
      <c r="I12" s="29"/>
      <c r="J12" s="23"/>
      <c r="K12" s="23"/>
      <c r="L12" s="24"/>
      <c r="M12" s="17"/>
    </row>
    <row r="13" spans="6:13" x14ac:dyDescent="0.2">
      <c r="F13" s="30"/>
      <c r="G13" s="31"/>
      <c r="H13" s="31"/>
      <c r="I13" s="31"/>
      <c r="J13" s="31"/>
      <c r="K13" s="31"/>
      <c r="L13" s="32"/>
    </row>
  </sheetData>
  <mergeCells count="1">
    <mergeCell ref="J9:L12"/>
  </mergeCells>
  <phoneticPr fontId="3" type="noConversion"/>
  <pageMargins left="0.7" right="0.7" top="0.75" bottom="0.75" header="0.3" footer="0.3"/>
  <pageSetup paperSize="9" orientation="portrait" horizontalDpi="0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4" name="Button 1">
              <controlPr defaultSize="0" print="0" autoFill="0" autoPict="0" macro="[0]!update">
                <anchor moveWithCells="1" sizeWithCells="1">
                  <from>
                    <xdr:col>5</xdr:col>
                    <xdr:colOff>142875</xdr:colOff>
                    <xdr:row>8</xdr:row>
                    <xdr:rowOff>9525</xdr:rowOff>
                  </from>
                  <to>
                    <xdr:col>8</xdr:col>
                    <xdr:colOff>581025</xdr:colOff>
                    <xdr:row>12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L2"/>
  <sheetViews>
    <sheetView zoomScaleNormal="100" workbookViewId="0">
      <selection activeCell="F2" sqref="A2:F30"/>
    </sheetView>
  </sheetViews>
  <sheetFormatPr defaultRowHeight="14.25" x14ac:dyDescent="0.2"/>
  <cols>
    <col min="1" max="1" width="17.25" style="3" bestFit="1" customWidth="1"/>
    <col min="2" max="2" width="12.25" style="3" bestFit="1" customWidth="1"/>
    <col min="3" max="3" width="16.625" style="8" bestFit="1" customWidth="1"/>
    <col min="4" max="4" width="7.875" style="3" bestFit="1" customWidth="1"/>
    <col min="5" max="5" width="16.625" style="3" bestFit="1" customWidth="1"/>
    <col min="6" max="6" width="9.5" style="10" bestFit="1" customWidth="1"/>
    <col min="7" max="7" width="14" style="3" bestFit="1" customWidth="1"/>
    <col min="8" max="8" width="11.875" style="3" bestFit="1" customWidth="1"/>
    <col min="9" max="9" width="16.75" style="3" bestFit="1" customWidth="1"/>
    <col min="10" max="10" width="7.625" style="3" bestFit="1" customWidth="1"/>
    <col min="11" max="11" width="4.25" style="3" bestFit="1" customWidth="1"/>
    <col min="12" max="12" width="10.5" style="3" bestFit="1" customWidth="1"/>
    <col min="13" max="16384" width="9" style="3"/>
  </cols>
  <sheetData>
    <row r="1" spans="1:12" s="2" customFormat="1" ht="15" x14ac:dyDescent="0.25">
      <c r="A1" s="2" t="s">
        <v>14</v>
      </c>
      <c r="B1" s="2" t="s">
        <v>16</v>
      </c>
      <c r="C1" s="7" t="s">
        <v>9</v>
      </c>
      <c r="D1" s="2" t="s">
        <v>10</v>
      </c>
      <c r="E1" s="2" t="s">
        <v>11</v>
      </c>
      <c r="F1" s="9" t="s">
        <v>18</v>
      </c>
      <c r="G1" s="6" t="s">
        <v>15</v>
      </c>
      <c r="H1" s="6" t="s">
        <v>2</v>
      </c>
      <c r="I1" s="6" t="s">
        <v>12</v>
      </c>
      <c r="J1" s="6" t="s">
        <v>6</v>
      </c>
      <c r="K1" s="6" t="s">
        <v>1</v>
      </c>
      <c r="L1" s="6" t="s">
        <v>17</v>
      </c>
    </row>
    <row r="2" spans="1:12" x14ac:dyDescent="0.2">
      <c r="G2" s="3" t="str">
        <f>IF(ISERROR(VLOOKUP(B2,Member_profile!$A$2:$G$11,2,FALSE))=FALSE,VLOOKUP(B2,Member_profile!$A$2:$G$11,2,FALSE),"")</f>
        <v/>
      </c>
      <c r="H2" s="3" t="str">
        <f>IF(A2&lt;&gt;"",IF(ISERROR(VLOOKUP(B2,Member_profile!$A$2:$G$11,3,FALSE))=FALSE,"Member","Non-member"),"")</f>
        <v/>
      </c>
      <c r="I2" s="3" t="str">
        <f>IF(ISERROR(VLOOKUP(B2,Member_profile!$A$2:$G$11,3,FALSE))=FALSE,VLOOKUP(B2,Member_profile!$A$2:$G$11,3,FALSE),"")</f>
        <v/>
      </c>
      <c r="J2" s="3" t="str">
        <f>IF(ISERROR(VLOOKUP(B2,Member_profile!$A$2:$G$11,4,FALSE))=FALSE,VLOOKUP(B2,Member_profile!$A$2:$G$11,4,FALSE),"")</f>
        <v/>
      </c>
      <c r="K2" s="3" t="str">
        <f>IF(ISERROR(VLOOKUP(B2,Member_profile!$A$2:$G$11,5,FALSE))=FALSE,VLOOKUP(B2,Member_profile!$A$2:$G$11,5,FALSE),"")</f>
        <v/>
      </c>
      <c r="L2" s="3" t="str">
        <f>IF(A2&lt;&gt;"",IF(K2&lt;20,"&lt; 20",IF(K2&lt;25,"20 - 24",IF(K2&lt;30,"25-30","&gt; 30"))),"")</f>
        <v/>
      </c>
    </row>
  </sheetData>
  <phoneticPr fontId="3" type="noConversion"/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F1"/>
  <sheetViews>
    <sheetView zoomScaleNormal="100" workbookViewId="0">
      <selection activeCell="A2" sqref="A2:F10"/>
    </sheetView>
  </sheetViews>
  <sheetFormatPr defaultRowHeight="14.25" x14ac:dyDescent="0.2"/>
  <cols>
    <col min="1" max="1" width="12.5" style="3" bestFit="1" customWidth="1"/>
    <col min="2" max="2" width="7.25" style="3" bestFit="1" customWidth="1"/>
    <col min="3" max="3" width="11.875" style="3" bestFit="1" customWidth="1"/>
    <col min="4" max="5" width="9" style="3"/>
    <col min="6" max="6" width="9.5" style="4" bestFit="1" customWidth="1"/>
    <col min="7" max="16384" width="9" style="3"/>
  </cols>
  <sheetData>
    <row r="1" spans="1:6" s="2" customFormat="1" ht="15" x14ac:dyDescent="0.25">
      <c r="A1" s="2" t="s">
        <v>16</v>
      </c>
      <c r="B1" s="2" t="s">
        <v>0</v>
      </c>
      <c r="C1" s="2" t="s">
        <v>2</v>
      </c>
      <c r="D1" s="2" t="s">
        <v>6</v>
      </c>
      <c r="E1" s="2" t="s">
        <v>1</v>
      </c>
      <c r="F1" s="5" t="s">
        <v>13</v>
      </c>
    </row>
  </sheetData>
  <phoneticPr fontId="3" type="noConversion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B2:E34"/>
  <sheetViews>
    <sheetView zoomScaleNormal="100" workbookViewId="0">
      <selection activeCell="E7" sqref="E7"/>
    </sheetView>
  </sheetViews>
  <sheetFormatPr defaultRowHeight="14.25" x14ac:dyDescent="0.2"/>
  <cols>
    <col min="1" max="1" width="5" customWidth="1"/>
    <col min="2" max="2" width="16.875" style="3" bestFit="1" customWidth="1"/>
    <col min="3" max="3" width="17.75" style="3" bestFit="1" customWidth="1"/>
    <col min="4" max="4" width="18.625" style="3" bestFit="1" customWidth="1"/>
    <col min="5" max="5" width="17.875" customWidth="1"/>
  </cols>
  <sheetData>
    <row r="2" spans="2:5" s="1" customFormat="1" ht="15.75" x14ac:dyDescent="0.25">
      <c r="B2" s="21" t="s">
        <v>36</v>
      </c>
      <c r="C2" s="21"/>
      <c r="D2" s="21"/>
    </row>
    <row r="3" spans="2:5" s="1" customFormat="1" ht="15" x14ac:dyDescent="0.25">
      <c r="B3" s="11"/>
      <c r="C3" s="11" t="s">
        <v>34</v>
      </c>
      <c r="D3" s="11" t="s">
        <v>35</v>
      </c>
    </row>
    <row r="4" spans="2:5" ht="15" x14ac:dyDescent="0.25">
      <c r="B4" s="18" t="s">
        <v>2</v>
      </c>
      <c r="C4" s="19"/>
      <c r="D4" s="20"/>
    </row>
    <row r="5" spans="2:5" x14ac:dyDescent="0.2">
      <c r="B5" s="12" t="s">
        <v>31</v>
      </c>
      <c r="C5" s="13">
        <f>COUNTIF(Raw_data!$H$2:$H$31,Report!B5)</f>
        <v>0</v>
      </c>
      <c r="D5" s="14">
        <f>SUMIF(Raw_data!$H$2:$H$31,Report!B5,Raw_data!$F$2:$F$31)</f>
        <v>0</v>
      </c>
    </row>
    <row r="6" spans="2:5" x14ac:dyDescent="0.2">
      <c r="B6" s="12" t="s">
        <v>30</v>
      </c>
      <c r="C6" s="13">
        <f>COUNTIF(Raw_data!$H$2:$H$31,Report!B6)</f>
        <v>0</v>
      </c>
      <c r="D6" s="14">
        <f>SUMIF(Raw_data!$H$2:$H$31,Report!B6,Raw_data!$F$2:$F$31)</f>
        <v>0</v>
      </c>
    </row>
    <row r="7" spans="2:5" ht="15" x14ac:dyDescent="0.25">
      <c r="B7" s="22" t="s">
        <v>32</v>
      </c>
      <c r="C7" s="22"/>
      <c r="D7" s="22"/>
    </row>
    <row r="8" spans="2:5" x14ac:dyDescent="0.2">
      <c r="B8" s="12" t="s">
        <v>3</v>
      </c>
      <c r="C8" s="13">
        <f>COUNTIF(Raw_data!$I$2:$I$31,Report!B8)</f>
        <v>0</v>
      </c>
      <c r="D8" s="14">
        <f>SUMIF(Raw_data!$I$2:$I$31,Report!B8,Raw_data!$F$2:$F$31)</f>
        <v>0</v>
      </c>
    </row>
    <row r="9" spans="2:5" x14ac:dyDescent="0.2">
      <c r="B9" s="12" t="s">
        <v>4</v>
      </c>
      <c r="C9" s="13">
        <f>COUNTIF(Raw_data!$I$2:$I$31,Report!B9)</f>
        <v>0</v>
      </c>
      <c r="D9" s="14">
        <f>SUMIF(Raw_data!$I$2:$I$31,Report!B9,Raw_data!$F$2:$F$31)</f>
        <v>0</v>
      </c>
    </row>
    <row r="10" spans="2:5" x14ac:dyDescent="0.2">
      <c r="B10" s="12" t="s">
        <v>5</v>
      </c>
      <c r="C10" s="13">
        <f>COUNTIF(Raw_data!$I$2:$I$31,Report!B10)</f>
        <v>0</v>
      </c>
      <c r="D10" s="14">
        <f>SUMIF(Raw_data!$I$2:$I$31,Report!B10,Raw_data!$F$2:$F$31)</f>
        <v>0</v>
      </c>
    </row>
    <row r="11" spans="2:5" ht="15" x14ac:dyDescent="0.25">
      <c r="B11" s="22" t="s">
        <v>6</v>
      </c>
      <c r="C11" s="22"/>
      <c r="D11" s="22"/>
    </row>
    <row r="12" spans="2:5" x14ac:dyDescent="0.2">
      <c r="B12" s="12" t="s">
        <v>8</v>
      </c>
      <c r="C12" s="13">
        <f>COUNTIF(Raw_data!$J$2:$J$31,Report!B12)</f>
        <v>0</v>
      </c>
      <c r="D12" s="14">
        <f>SUMIF(Raw_data!$J$2:$J$31,Report!B12,Raw_data!$F$2:$F$31)</f>
        <v>0</v>
      </c>
    </row>
    <row r="13" spans="2:5" x14ac:dyDescent="0.2">
      <c r="B13" s="12" t="s">
        <v>7</v>
      </c>
      <c r="C13" s="13">
        <f>COUNTIF(Raw_data!$J$2:$J$31,Report!B13)</f>
        <v>0</v>
      </c>
      <c r="D13" s="14">
        <f>SUMIF(Raw_data!$J$2:$J$31,Report!B13,Raw_data!$F$2:$F$31)</f>
        <v>0</v>
      </c>
    </row>
    <row r="14" spans="2:5" ht="15" x14ac:dyDescent="0.25">
      <c r="B14" s="22" t="s">
        <v>33</v>
      </c>
      <c r="C14" s="22"/>
      <c r="D14" s="22"/>
    </row>
    <row r="16" spans="2:5" ht="15.75" x14ac:dyDescent="0.25">
      <c r="B16" s="21" t="s">
        <v>37</v>
      </c>
      <c r="C16" s="21"/>
      <c r="D16" s="21"/>
      <c r="E16" s="21"/>
    </row>
    <row r="17" spans="2:5" s="17" customFormat="1" ht="30" x14ac:dyDescent="0.2">
      <c r="B17" s="15"/>
      <c r="C17" s="15" t="s">
        <v>34</v>
      </c>
      <c r="D17" s="15" t="s">
        <v>35</v>
      </c>
      <c r="E17" s="16" t="s">
        <v>43</v>
      </c>
    </row>
    <row r="18" spans="2:5" ht="15" x14ac:dyDescent="0.25">
      <c r="B18" s="22" t="s">
        <v>10</v>
      </c>
      <c r="C18" s="22"/>
      <c r="D18" s="22"/>
      <c r="E18" s="22"/>
    </row>
    <row r="19" spans="2:5" x14ac:dyDescent="0.2">
      <c r="B19" s="12" t="s">
        <v>24</v>
      </c>
      <c r="C19" s="13">
        <f>COUNTIF(Raw_data!$D$2:$D$31,Report!B19)</f>
        <v>0</v>
      </c>
      <c r="D19" s="14">
        <f>SUMIF(Raw_data!$D$2:$D$31,Report!B19,Raw_data!$F$2:$F$31)</f>
        <v>0</v>
      </c>
      <c r="E19" s="14" t="e">
        <f>D19/C19</f>
        <v>#DIV/0!</v>
      </c>
    </row>
    <row r="20" spans="2:5" x14ac:dyDescent="0.2">
      <c r="B20" s="12" t="s">
        <v>21</v>
      </c>
      <c r="C20" s="13">
        <f>COUNTIF(Raw_data!$D$2:$D$31,Report!B20)</f>
        <v>0</v>
      </c>
      <c r="D20" s="14">
        <f>SUMIF(Raw_data!$D$2:$D$31,Report!B20,Raw_data!$F$2:$F$31)</f>
        <v>0</v>
      </c>
      <c r="E20" s="14" t="e">
        <f t="shared" ref="E20:E31" si="0">D20/C20</f>
        <v>#DIV/0!</v>
      </c>
    </row>
    <row r="21" spans="2:5" x14ac:dyDescent="0.2">
      <c r="B21" s="12" t="s">
        <v>22</v>
      </c>
      <c r="C21" s="13">
        <f>COUNTIF(Raw_data!$D$2:$D$31,Report!B21)</f>
        <v>0</v>
      </c>
      <c r="D21" s="14">
        <f>SUMIF(Raw_data!$D$2:$D$31,Report!B21,Raw_data!$F$2:$F$31)</f>
        <v>0</v>
      </c>
      <c r="E21" s="14" t="e">
        <f t="shared" si="0"/>
        <v>#DIV/0!</v>
      </c>
    </row>
    <row r="22" spans="2:5" x14ac:dyDescent="0.2">
      <c r="B22" s="12" t="s">
        <v>23</v>
      </c>
      <c r="C22" s="13">
        <f>COUNTIF(Raw_data!$D$2:$D$31,Report!B22)</f>
        <v>0</v>
      </c>
      <c r="D22" s="14">
        <f>SUMIF(Raw_data!$D$2:$D$31,Report!B22,Raw_data!$F$2:$F$31)</f>
        <v>0</v>
      </c>
      <c r="E22" s="14" t="e">
        <f t="shared" si="0"/>
        <v>#DIV/0!</v>
      </c>
    </row>
    <row r="23" spans="2:5" x14ac:dyDescent="0.2">
      <c r="B23" s="12" t="s">
        <v>25</v>
      </c>
      <c r="C23" s="13">
        <f>COUNTIF(Raw_data!$D$2:$D$31,Report!B23)</f>
        <v>0</v>
      </c>
      <c r="D23" s="14">
        <f>SUMIF(Raw_data!$D$2:$D$31,Report!B23,Raw_data!$F$2:$F$31)</f>
        <v>0</v>
      </c>
      <c r="E23" s="14" t="e">
        <f t="shared" si="0"/>
        <v>#DIV/0!</v>
      </c>
    </row>
    <row r="24" spans="2:5" x14ac:dyDescent="0.2">
      <c r="B24" s="12" t="s">
        <v>27</v>
      </c>
      <c r="C24" s="13">
        <f>COUNTIF(Raw_data!$D$2:$D$31,Report!B24)</f>
        <v>0</v>
      </c>
      <c r="D24" s="14">
        <f>SUMIF(Raw_data!$D$2:$D$31,Report!B24,Raw_data!$F$2:$F$31)</f>
        <v>0</v>
      </c>
      <c r="E24" s="14" t="e">
        <f t="shared" si="0"/>
        <v>#DIV/0!</v>
      </c>
    </row>
    <row r="25" spans="2:5" x14ac:dyDescent="0.2">
      <c r="B25" s="12" t="s">
        <v>19</v>
      </c>
      <c r="C25" s="13">
        <f>COUNTIF(Raw_data!$D$2:$D$31,Report!B25)</f>
        <v>0</v>
      </c>
      <c r="D25" s="14">
        <f>SUMIF(Raw_data!$D$2:$D$31,Report!B25,Raw_data!$F$2:$F$31)</f>
        <v>0</v>
      </c>
      <c r="E25" s="14" t="e">
        <f t="shared" si="0"/>
        <v>#DIV/0!</v>
      </c>
    </row>
    <row r="26" spans="2:5" x14ac:dyDescent="0.2">
      <c r="B26" s="12" t="s">
        <v>26</v>
      </c>
      <c r="C26" s="13">
        <f>COUNTIF(Raw_data!$D$2:$D$31,Report!B26)</f>
        <v>0</v>
      </c>
      <c r="D26" s="14">
        <f>SUMIF(Raw_data!$D$2:$D$31,Report!B26,Raw_data!$F$2:$F$31)</f>
        <v>0</v>
      </c>
      <c r="E26" s="14" t="e">
        <f t="shared" si="0"/>
        <v>#DIV/0!</v>
      </c>
    </row>
    <row r="27" spans="2:5" x14ac:dyDescent="0.2">
      <c r="B27" s="12" t="s">
        <v>29</v>
      </c>
      <c r="C27" s="13">
        <f>COUNTIF(Raw_data!$D$2:$D$31,Report!B27)</f>
        <v>0</v>
      </c>
      <c r="D27" s="14">
        <f>SUMIF(Raw_data!$D$2:$D$31,Report!B27,Raw_data!$F$2:$F$31)</f>
        <v>0</v>
      </c>
      <c r="E27" s="14" t="e">
        <f t="shared" si="0"/>
        <v>#DIV/0!</v>
      </c>
    </row>
    <row r="28" spans="2:5" x14ac:dyDescent="0.2">
      <c r="B28" s="12" t="s">
        <v>20</v>
      </c>
      <c r="C28" s="13">
        <f>COUNTIF(Raw_data!$D$2:$D$31,Report!B28)</f>
        <v>0</v>
      </c>
      <c r="D28" s="14">
        <f>SUMIF(Raw_data!$D$2:$D$31,Report!B28,Raw_data!$F$2:$F$31)</f>
        <v>0</v>
      </c>
      <c r="E28" s="14" t="e">
        <f t="shared" si="0"/>
        <v>#DIV/0!</v>
      </c>
    </row>
    <row r="29" spans="2:5" x14ac:dyDescent="0.2">
      <c r="B29" s="12" t="s">
        <v>28</v>
      </c>
      <c r="C29" s="13">
        <f>COUNTIF(Raw_data!$D$2:$D$31,Report!B29)</f>
        <v>0</v>
      </c>
      <c r="D29" s="14">
        <f>SUMIF(Raw_data!$D$2:$D$31,Report!B29,Raw_data!$F$2:$F$31)</f>
        <v>0</v>
      </c>
      <c r="E29" s="14" t="e">
        <f t="shared" si="0"/>
        <v>#DIV/0!</v>
      </c>
    </row>
    <row r="30" spans="2:5" ht="15" x14ac:dyDescent="0.25">
      <c r="B30" s="22" t="s">
        <v>38</v>
      </c>
      <c r="C30" s="22"/>
      <c r="D30" s="22"/>
      <c r="E30" s="22"/>
    </row>
    <row r="31" spans="2:5" x14ac:dyDescent="0.2">
      <c r="B31" s="12" t="s">
        <v>39</v>
      </c>
      <c r="C31" s="13">
        <f>COUNTIF(Raw_data!$E$2:$E$31,Report!B31)</f>
        <v>0</v>
      </c>
      <c r="D31" s="14">
        <f>SUMIF(Raw_data!$E$2:$E$31,Report!B31,Raw_data!$F$2:$F$31)</f>
        <v>0</v>
      </c>
      <c r="E31" s="14" t="e">
        <f t="shared" si="0"/>
        <v>#DIV/0!</v>
      </c>
    </row>
    <row r="32" spans="2:5" x14ac:dyDescent="0.2">
      <c r="B32" s="12" t="s">
        <v>40</v>
      </c>
      <c r="C32" s="13">
        <f>COUNTIF(Raw_data!$E$2:$E$31,Report!B32)</f>
        <v>0</v>
      </c>
      <c r="D32" s="14">
        <f>SUMIF(Raw_data!$E$2:$E$31,Report!B32,Raw_data!$F$2:$F$31)</f>
        <v>0</v>
      </c>
      <c r="E32" s="14" t="e">
        <f t="shared" ref="E32:E34" si="1">D32/C32</f>
        <v>#DIV/0!</v>
      </c>
    </row>
    <row r="33" spans="2:5" x14ac:dyDescent="0.2">
      <c r="B33" s="12" t="s">
        <v>41</v>
      </c>
      <c r="C33" s="13">
        <f>COUNTIF(Raw_data!$E$2:$E$31,Report!B33)</f>
        <v>0</v>
      </c>
      <c r="D33" s="14">
        <f>SUMIF(Raw_data!$E$2:$E$31,Report!B33,Raw_data!$F$2:$F$31)</f>
        <v>0</v>
      </c>
      <c r="E33" s="14" t="e">
        <f t="shared" si="1"/>
        <v>#DIV/0!</v>
      </c>
    </row>
    <row r="34" spans="2:5" x14ac:dyDescent="0.2">
      <c r="B34" s="12" t="s">
        <v>42</v>
      </c>
      <c r="C34" s="13">
        <f>COUNTIF(Raw_data!$E$2:$E$31,Report!B34)</f>
        <v>0</v>
      </c>
      <c r="D34" s="14">
        <f>SUMIF(Raw_data!$E$2:$E$31,Report!B34,Raw_data!$F$2:$F$31)</f>
        <v>0</v>
      </c>
      <c r="E34" s="14" t="e">
        <f t="shared" si="1"/>
        <v>#DIV/0!</v>
      </c>
    </row>
  </sheetData>
  <mergeCells count="8">
    <mergeCell ref="B4:D4"/>
    <mergeCell ref="B16:E16"/>
    <mergeCell ref="B18:E18"/>
    <mergeCell ref="B30:E30"/>
    <mergeCell ref="B2:D2"/>
    <mergeCell ref="B7:D7"/>
    <mergeCell ref="B11:D11"/>
    <mergeCell ref="B14:D14"/>
  </mergeCells>
  <phoneticPr fontId="3" type="noConversion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Console</vt:lpstr>
      <vt:lpstr>Raw_data</vt:lpstr>
      <vt:lpstr>Member_profile</vt:lpstr>
      <vt:lpstr>Report</vt:lpstr>
    </vt:vector>
  </TitlesOfParts>
  <Company>MODERN TERMINALS LTD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horace.tang</dc:creator>
  <cp:lastModifiedBy>user</cp:lastModifiedBy>
  <dcterms:created xsi:type="dcterms:W3CDTF">2015-07-06T04:38:06Z</dcterms:created>
  <dcterms:modified xsi:type="dcterms:W3CDTF">2015-07-06T15:58:46Z</dcterms:modified>
</cp:coreProperties>
</file>